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nicho\Downloads\UNH\Fall 2026 Classes\ME 705 - Thermal Systems (Fall 26)\PROJECTS\1A (Cog_Railway-HeatPump)\"/>
    </mc:Choice>
  </mc:AlternateContent>
  <xr:revisionPtr revIDLastSave="0" documentId="13_ncr:1_{7CF0FF29-D899-411E-8684-0EBF5533E98D}" xr6:coauthVersionLast="47" xr6:coauthVersionMax="47" xr10:uidLastSave="{00000000-0000-0000-0000-000000000000}"/>
  <bookViews>
    <workbookView xWindow="-94" yWindow="-94" windowWidth="29674" windowHeight="11811" activeTab="2" xr2:uid="{00000000-000D-0000-FFFF-FFFF00000000}"/>
  </bookViews>
  <sheets>
    <sheet name="README" sheetId="1" r:id="rId1"/>
    <sheet name="geometry" sheetId="2" r:id="rId2"/>
    <sheet name="layers" sheetId="3" r:id="rId3"/>
    <sheet name="check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/>
  <c r="C8" i="2"/>
  <c r="D5" i="2"/>
  <c r="C5" i="2"/>
</calcChain>
</file>

<file path=xl/sharedStrings.xml><?xml version="1.0" encoding="utf-8"?>
<sst xmlns="http://schemas.openxmlformats.org/spreadsheetml/2006/main" count="113" uniqueCount="48">
  <si>
    <t>How to use this sheet for ME 705 Project 1 2026</t>
  </si>
  <si>
    <t>geometry: one row per parameter. Any names must be identifiable by the MATLAB script (i.e W, L, H, A_window, etc)</t>
  </si>
  <si>
    <t>layers: one row per material layer. The surface must be a wall, roof, floor, or window identifyer</t>
  </si>
  <si>
    <t>films: should match Hi variable in code (inside), and H_0(outside) for the surface film coefficients.</t>
  </si>
  <si>
    <t>check: none of this should be called by MATLAB. This sheet exists as a reference to compare Rmats and U for each surface against to catch any potential errors</t>
  </si>
  <si>
    <t>All numbers are pulled from values that were researched and fit the desired parameters for the COG. Should a user wish to change a parameter, update accordingly.</t>
  </si>
  <si>
    <t>Parameter</t>
  </si>
  <si>
    <t>Units</t>
  </si>
  <si>
    <t>L</t>
  </si>
  <si>
    <t>W</t>
  </si>
  <si>
    <t>H</t>
  </si>
  <si>
    <t>Edit any values in blue, the black values are equation results or variables referenced by MATLAB (IDEALLY DON’T TOUCH)</t>
  </si>
  <si>
    <t>m</t>
  </si>
  <si>
    <t>m^2</t>
  </si>
  <si>
    <t>Surface</t>
  </si>
  <si>
    <t>Layer</t>
  </si>
  <si>
    <t>Thickness_m</t>
  </si>
  <si>
    <t>Hi</t>
  </si>
  <si>
    <t>Awindow</t>
  </si>
  <si>
    <t>V</t>
  </si>
  <si>
    <t>m^3</t>
  </si>
  <si>
    <t>Awindow individual</t>
  </si>
  <si>
    <t>Number of windows</t>
  </si>
  <si>
    <t>Cabin</t>
  </si>
  <si>
    <t>VIP</t>
  </si>
  <si>
    <t>Zone</t>
  </si>
  <si>
    <t>wall</t>
  </si>
  <si>
    <t>window</t>
  </si>
  <si>
    <t>Aluminum</t>
  </si>
  <si>
    <t>Insulation</t>
  </si>
  <si>
    <t>Interior</t>
  </si>
  <si>
    <t>Glass</t>
  </si>
  <si>
    <t>Air</t>
  </si>
  <si>
    <t>numOcc</t>
  </si>
  <si>
    <t>people</t>
  </si>
  <si>
    <t>Qperson</t>
  </si>
  <si>
    <t>W/m^2-K</t>
  </si>
  <si>
    <t>Air_infil</t>
  </si>
  <si>
    <t>ACH</t>
  </si>
  <si>
    <t>kWind</t>
  </si>
  <si>
    <t>ACH(m/s)</t>
  </si>
  <si>
    <t>roof</t>
  </si>
  <si>
    <t>floor</t>
  </si>
  <si>
    <t>Steel deck</t>
  </si>
  <si>
    <t>Wood floor</t>
  </si>
  <si>
    <t>R_layer_check</t>
  </si>
  <si>
    <t>k_WmK</t>
  </si>
  <si>
    <t>R_fixed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</si>
</sst>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>
      <selection activeCell="A10" sqref="A10"/>
    </sheetView>
  </sheetViews>
  <sheetFormatPr defaultRowHeight="14.6" x14ac:dyDescent="0.4"/>
  <cols>
    <col min="1" max="1" width="138.84375" customWidth="1"/>
  </cols>
  <sheetData>
    <row r="1" spans="1:1" ht="18.45" x14ac:dyDescent="0.5">
      <c r="A1" s="1" t="s">
        <v>0</v>
      </c>
    </row>
    <row r="2" spans="1:1" x14ac:dyDescent="0.4">
      <c r="A2" s="2" t="s">
        <v>11</v>
      </c>
    </row>
    <row r="3" spans="1:1" x14ac:dyDescent="0.4">
      <c r="A3" s="2" t="s">
        <v>1</v>
      </c>
    </row>
    <row r="4" spans="1:1" x14ac:dyDescent="0.4">
      <c r="A4" s="2" t="s">
        <v>2</v>
      </c>
    </row>
    <row r="5" spans="1:1" x14ac:dyDescent="0.4">
      <c r="A5" s="2" t="s">
        <v>3</v>
      </c>
    </row>
    <row r="6" spans="1:1" x14ac:dyDescent="0.4">
      <c r="A6" s="2" t="s">
        <v>4</v>
      </c>
    </row>
    <row r="7" spans="1:1" x14ac:dyDescent="0.4">
      <c r="A7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C24D2-7C66-4949-8DF5-7FAA6619E222}">
  <dimension ref="A1:D13"/>
  <sheetViews>
    <sheetView workbookViewId="0">
      <selection activeCell="C3" sqref="C3"/>
    </sheetView>
  </sheetViews>
  <sheetFormatPr defaultRowHeight="14.6" x14ac:dyDescent="0.4"/>
  <cols>
    <col min="1" max="1" width="20.84375" customWidth="1"/>
    <col min="2" max="2" width="28.61328125" customWidth="1"/>
    <col min="3" max="3" width="23" customWidth="1"/>
    <col min="4" max="4" width="24.07421875" customWidth="1"/>
  </cols>
  <sheetData>
    <row r="1" spans="1:4" x14ac:dyDescent="0.4">
      <c r="A1" s="3" t="s">
        <v>6</v>
      </c>
      <c r="B1" s="3" t="s">
        <v>7</v>
      </c>
      <c r="C1" s="3" t="s">
        <v>23</v>
      </c>
      <c r="D1" s="3" t="s">
        <v>24</v>
      </c>
    </row>
    <row r="2" spans="1:4" x14ac:dyDescent="0.4">
      <c r="A2" t="s">
        <v>8</v>
      </c>
      <c r="B2" t="s">
        <v>12</v>
      </c>
      <c r="C2" s="4">
        <v>3</v>
      </c>
      <c r="D2" s="4">
        <v>7</v>
      </c>
    </row>
    <row r="3" spans="1:4" x14ac:dyDescent="0.4">
      <c r="A3" t="s">
        <v>9</v>
      </c>
      <c r="B3" t="s">
        <v>12</v>
      </c>
      <c r="C3" s="4">
        <v>2.5</v>
      </c>
      <c r="D3" s="4">
        <v>2.5</v>
      </c>
    </row>
    <row r="4" spans="1:4" x14ac:dyDescent="0.4">
      <c r="A4" t="s">
        <v>10</v>
      </c>
      <c r="B4" t="s">
        <v>12</v>
      </c>
      <c r="C4" s="4">
        <v>2.5</v>
      </c>
      <c r="D4" s="4">
        <v>2.5</v>
      </c>
    </row>
    <row r="5" spans="1:4" x14ac:dyDescent="0.4">
      <c r="A5" t="s">
        <v>19</v>
      </c>
      <c r="B5" t="s">
        <v>20</v>
      </c>
      <c r="C5">
        <f>C2*C3*C4</f>
        <v>18.75</v>
      </c>
      <c r="D5">
        <f>D2*D3*D4</f>
        <v>43.75</v>
      </c>
    </row>
    <row r="6" spans="1:4" x14ac:dyDescent="0.4">
      <c r="A6" t="s">
        <v>21</v>
      </c>
      <c r="B6" t="s">
        <v>13</v>
      </c>
      <c r="C6" s="4">
        <v>1.5</v>
      </c>
      <c r="D6" s="4">
        <v>2</v>
      </c>
    </row>
    <row r="7" spans="1:4" x14ac:dyDescent="0.4">
      <c r="A7" t="s">
        <v>22</v>
      </c>
      <c r="C7" s="4">
        <v>4</v>
      </c>
      <c r="D7" s="4">
        <v>8</v>
      </c>
    </row>
    <row r="8" spans="1:4" x14ac:dyDescent="0.4">
      <c r="A8" t="s">
        <v>18</v>
      </c>
      <c r="B8" t="s">
        <v>13</v>
      </c>
      <c r="C8">
        <f>C6*C7</f>
        <v>6</v>
      </c>
      <c r="D8">
        <f>D6*D7</f>
        <v>16</v>
      </c>
    </row>
    <row r="9" spans="1:4" x14ac:dyDescent="0.4">
      <c r="A9" t="s">
        <v>33</v>
      </c>
      <c r="B9" t="s">
        <v>34</v>
      </c>
      <c r="C9" s="4">
        <v>2</v>
      </c>
      <c r="D9" s="4">
        <v>8</v>
      </c>
    </row>
    <row r="10" spans="1:4" x14ac:dyDescent="0.4">
      <c r="A10" t="s">
        <v>35</v>
      </c>
      <c r="B10" t="s">
        <v>9</v>
      </c>
      <c r="C10" s="4">
        <v>75</v>
      </c>
      <c r="D10" s="4">
        <v>75</v>
      </c>
    </row>
    <row r="11" spans="1:4" x14ac:dyDescent="0.4">
      <c r="A11" t="s">
        <v>17</v>
      </c>
      <c r="B11" t="s">
        <v>36</v>
      </c>
      <c r="C11" s="4">
        <v>8</v>
      </c>
      <c r="D11" s="4">
        <v>8</v>
      </c>
    </row>
    <row r="12" spans="1:4" x14ac:dyDescent="0.4">
      <c r="A12" t="s">
        <v>37</v>
      </c>
      <c r="B12" t="s">
        <v>38</v>
      </c>
      <c r="C12" s="4">
        <v>3</v>
      </c>
      <c r="D12" s="4">
        <v>2</v>
      </c>
    </row>
    <row r="13" spans="1:4" x14ac:dyDescent="0.4">
      <c r="A13" t="s">
        <v>39</v>
      </c>
      <c r="B13" t="s">
        <v>40</v>
      </c>
      <c r="C13" s="4">
        <v>0.1</v>
      </c>
      <c r="D13" s="4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892CA-A82E-4E5C-81DB-EEC8EE5D465D}">
  <dimension ref="A1:G26"/>
  <sheetViews>
    <sheetView tabSelected="1" workbookViewId="0">
      <selection activeCell="D9" sqref="D9"/>
    </sheetView>
  </sheetViews>
  <sheetFormatPr defaultRowHeight="14.6" x14ac:dyDescent="0.4"/>
  <cols>
    <col min="1" max="1" width="15" customWidth="1"/>
    <col min="2" max="2" width="19.921875" customWidth="1"/>
    <col min="3" max="3" width="20.3046875" customWidth="1"/>
    <col min="4" max="4" width="19.765625" customWidth="1"/>
    <col min="5" max="5" width="18.69140625" customWidth="1"/>
    <col min="6" max="6" width="23.61328125" customWidth="1"/>
    <col min="7" max="7" width="31.15234375" customWidth="1"/>
  </cols>
  <sheetData>
    <row r="1" spans="1:7" x14ac:dyDescent="0.4">
      <c r="A1" s="3" t="s">
        <v>25</v>
      </c>
      <c r="B1" s="3" t="s">
        <v>14</v>
      </c>
      <c r="C1" s="3" t="s">
        <v>15</v>
      </c>
      <c r="D1" s="3" t="s">
        <v>16</v>
      </c>
      <c r="E1" s="3" t="s">
        <v>46</v>
      </c>
      <c r="F1" s="3" t="s">
        <v>47</v>
      </c>
      <c r="G1" s="3" t="s">
        <v>45</v>
      </c>
    </row>
    <row r="2" spans="1:7" x14ac:dyDescent="0.4">
      <c r="A2" t="s">
        <v>23</v>
      </c>
      <c r="B2" t="s">
        <v>26</v>
      </c>
      <c r="C2" t="s">
        <v>28</v>
      </c>
      <c r="D2" s="4">
        <v>2E-3</v>
      </c>
      <c r="E2" s="4">
        <v>167</v>
      </c>
      <c r="F2" s="4"/>
    </row>
    <row r="3" spans="1:7" x14ac:dyDescent="0.4">
      <c r="A3" t="s">
        <v>23</v>
      </c>
      <c r="B3" t="s">
        <v>26</v>
      </c>
      <c r="C3" t="s">
        <v>29</v>
      </c>
      <c r="D3" s="4">
        <v>0.04</v>
      </c>
      <c r="E3" s="4">
        <v>2.5000000000000001E-2</v>
      </c>
      <c r="F3" s="4"/>
    </row>
    <row r="4" spans="1:7" x14ac:dyDescent="0.4">
      <c r="A4" t="s">
        <v>23</v>
      </c>
      <c r="B4" t="s">
        <v>26</v>
      </c>
      <c r="C4" t="s">
        <v>30</v>
      </c>
      <c r="D4" s="4">
        <v>3.0000000000000001E-3</v>
      </c>
      <c r="E4" s="4">
        <v>0.2</v>
      </c>
      <c r="F4" s="4"/>
    </row>
    <row r="5" spans="1:7" x14ac:dyDescent="0.4">
      <c r="A5" t="s">
        <v>23</v>
      </c>
      <c r="B5" t="s">
        <v>27</v>
      </c>
      <c r="C5" t="s">
        <v>31</v>
      </c>
      <c r="D5" s="4">
        <v>6.0000000000000001E-3</v>
      </c>
      <c r="E5" s="4">
        <v>1</v>
      </c>
      <c r="F5" s="4"/>
    </row>
    <row r="6" spans="1:7" x14ac:dyDescent="0.4">
      <c r="A6" t="s">
        <v>23</v>
      </c>
      <c r="B6" t="s">
        <v>27</v>
      </c>
      <c r="C6" t="s">
        <v>32</v>
      </c>
      <c r="D6" s="4"/>
      <c r="E6" s="4"/>
      <c r="F6" s="4">
        <v>0.15</v>
      </c>
    </row>
    <row r="7" spans="1:7" x14ac:dyDescent="0.4">
      <c r="A7" t="s">
        <v>23</v>
      </c>
      <c r="B7" t="s">
        <v>27</v>
      </c>
      <c r="C7" t="s">
        <v>31</v>
      </c>
      <c r="D7" s="4">
        <v>6.0000000000000001E-3</v>
      </c>
      <c r="E7" s="4">
        <v>1</v>
      </c>
      <c r="F7" s="4"/>
    </row>
    <row r="8" spans="1:7" x14ac:dyDescent="0.4">
      <c r="A8" t="s">
        <v>23</v>
      </c>
      <c r="B8" t="s">
        <v>41</v>
      </c>
      <c r="C8" t="s">
        <v>28</v>
      </c>
      <c r="D8" s="4">
        <v>2E-3</v>
      </c>
      <c r="E8" s="4">
        <v>167</v>
      </c>
      <c r="F8" s="4"/>
    </row>
    <row r="9" spans="1:7" x14ac:dyDescent="0.4">
      <c r="A9" t="s">
        <v>23</v>
      </c>
      <c r="B9" t="s">
        <v>41</v>
      </c>
      <c r="C9" t="s">
        <v>29</v>
      </c>
      <c r="D9" s="4">
        <v>0.05</v>
      </c>
      <c r="E9" s="4">
        <v>2.5000000000000001E-2</v>
      </c>
      <c r="F9" s="4"/>
    </row>
    <row r="10" spans="1:7" x14ac:dyDescent="0.4">
      <c r="A10" t="s">
        <v>23</v>
      </c>
      <c r="B10" t="s">
        <v>41</v>
      </c>
      <c r="C10" t="s">
        <v>30</v>
      </c>
      <c r="D10" s="4">
        <v>3.0000000000000001E-3</v>
      </c>
      <c r="E10" s="4">
        <v>0.2</v>
      </c>
      <c r="F10" s="4"/>
    </row>
    <row r="11" spans="1:7" x14ac:dyDescent="0.4">
      <c r="A11" t="s">
        <v>23</v>
      </c>
      <c r="B11" t="s">
        <v>42</v>
      </c>
      <c r="C11" t="s">
        <v>43</v>
      </c>
      <c r="D11" s="4">
        <v>5.0000000000000001E-3</v>
      </c>
      <c r="E11" s="4">
        <v>45</v>
      </c>
      <c r="F11" s="4"/>
    </row>
    <row r="12" spans="1:7" x14ac:dyDescent="0.4">
      <c r="A12" t="s">
        <v>23</v>
      </c>
      <c r="B12" t="s">
        <v>42</v>
      </c>
      <c r="C12" t="s">
        <v>29</v>
      </c>
      <c r="D12" s="4">
        <v>0.03</v>
      </c>
      <c r="E12" s="4">
        <v>2.5000000000000001E-2</v>
      </c>
      <c r="F12" s="4"/>
    </row>
    <row r="13" spans="1:7" x14ac:dyDescent="0.4">
      <c r="A13" t="s">
        <v>23</v>
      </c>
      <c r="B13" t="s">
        <v>42</v>
      </c>
      <c r="C13" t="s">
        <v>44</v>
      </c>
      <c r="D13" s="4">
        <v>1.9E-2</v>
      </c>
      <c r="E13" s="4">
        <v>0.12</v>
      </c>
      <c r="F13" s="4"/>
    </row>
    <row r="14" spans="1:7" x14ac:dyDescent="0.4">
      <c r="A14" t="s">
        <v>24</v>
      </c>
      <c r="B14" t="s">
        <v>26</v>
      </c>
      <c r="C14" t="s">
        <v>28</v>
      </c>
      <c r="D14" s="4">
        <v>2E-3</v>
      </c>
      <c r="E14" s="4">
        <v>167</v>
      </c>
      <c r="F14" s="4"/>
    </row>
    <row r="15" spans="1:7" x14ac:dyDescent="0.4">
      <c r="A15" t="s">
        <v>24</v>
      </c>
      <c r="B15" t="s">
        <v>26</v>
      </c>
      <c r="C15" t="s">
        <v>29</v>
      </c>
      <c r="D15" s="4">
        <v>0.04</v>
      </c>
      <c r="E15" s="4">
        <v>2.5000000000000001E-2</v>
      </c>
      <c r="F15" s="4"/>
    </row>
    <row r="16" spans="1:7" x14ac:dyDescent="0.4">
      <c r="A16" t="s">
        <v>24</v>
      </c>
      <c r="B16" t="s">
        <v>26</v>
      </c>
      <c r="C16" t="s">
        <v>30</v>
      </c>
      <c r="D16" s="4">
        <v>3.0000000000000001E-3</v>
      </c>
      <c r="E16" s="4">
        <v>0.2</v>
      </c>
      <c r="F16" s="4"/>
    </row>
    <row r="17" spans="1:6" x14ac:dyDescent="0.4">
      <c r="A17" t="s">
        <v>24</v>
      </c>
      <c r="B17" t="s">
        <v>27</v>
      </c>
      <c r="C17" t="s">
        <v>31</v>
      </c>
      <c r="D17" s="4">
        <v>6.0000000000000001E-3</v>
      </c>
      <c r="E17" s="4">
        <v>1</v>
      </c>
      <c r="F17" s="4"/>
    </row>
    <row r="18" spans="1:6" x14ac:dyDescent="0.4">
      <c r="A18" t="s">
        <v>24</v>
      </c>
      <c r="B18" t="s">
        <v>27</v>
      </c>
      <c r="C18" t="s">
        <v>32</v>
      </c>
      <c r="D18" s="4"/>
      <c r="E18" s="4"/>
      <c r="F18" s="4">
        <v>1.4999999999999999E-2</v>
      </c>
    </row>
    <row r="19" spans="1:6" x14ac:dyDescent="0.4">
      <c r="A19" t="s">
        <v>24</v>
      </c>
      <c r="B19" t="s">
        <v>27</v>
      </c>
      <c r="C19" t="s">
        <v>31</v>
      </c>
      <c r="D19" s="4">
        <v>6.0000000000000001E-3</v>
      </c>
      <c r="E19" s="4">
        <v>1</v>
      </c>
      <c r="F19" s="4"/>
    </row>
    <row r="20" spans="1:6" x14ac:dyDescent="0.4">
      <c r="A20" t="s">
        <v>24</v>
      </c>
      <c r="B20" t="s">
        <v>41</v>
      </c>
      <c r="C20" t="s">
        <v>28</v>
      </c>
      <c r="D20" s="4">
        <v>2E-3</v>
      </c>
      <c r="E20" s="4">
        <v>167</v>
      </c>
      <c r="F20" s="4"/>
    </row>
    <row r="21" spans="1:6" x14ac:dyDescent="0.4">
      <c r="A21" t="s">
        <v>24</v>
      </c>
      <c r="B21" t="s">
        <v>41</v>
      </c>
      <c r="C21" t="s">
        <v>29</v>
      </c>
      <c r="D21" s="4">
        <v>0.05</v>
      </c>
      <c r="E21" s="4">
        <v>2.5000000000000001E-2</v>
      </c>
      <c r="F21" s="4"/>
    </row>
    <row r="22" spans="1:6" x14ac:dyDescent="0.4">
      <c r="A22" t="s">
        <v>24</v>
      </c>
      <c r="B22" t="s">
        <v>41</v>
      </c>
      <c r="C22" t="s">
        <v>30</v>
      </c>
      <c r="D22" s="4">
        <v>3.0000000000000001E-3</v>
      </c>
      <c r="E22" s="4">
        <v>0.2</v>
      </c>
      <c r="F22" s="4"/>
    </row>
    <row r="23" spans="1:6" x14ac:dyDescent="0.4">
      <c r="A23" t="s">
        <v>24</v>
      </c>
      <c r="B23" t="s">
        <v>42</v>
      </c>
      <c r="C23" t="s">
        <v>43</v>
      </c>
      <c r="D23" s="4">
        <v>5.0000000000000001E-3</v>
      </c>
      <c r="E23" s="4">
        <v>45</v>
      </c>
      <c r="F23" s="4"/>
    </row>
    <row r="24" spans="1:6" x14ac:dyDescent="0.4">
      <c r="A24" t="s">
        <v>24</v>
      </c>
      <c r="B24" t="s">
        <v>42</v>
      </c>
      <c r="C24" t="s">
        <v>29</v>
      </c>
      <c r="D24" s="4">
        <v>0.03</v>
      </c>
      <c r="E24" s="4">
        <v>2.5000000000000001E-2</v>
      </c>
      <c r="F24" s="4"/>
    </row>
    <row r="25" spans="1:6" x14ac:dyDescent="0.4">
      <c r="A25" t="s">
        <v>24</v>
      </c>
      <c r="B25" t="s">
        <v>42</v>
      </c>
      <c r="C25" t="s">
        <v>44</v>
      </c>
      <c r="D25" s="4">
        <v>1.9E-2</v>
      </c>
      <c r="E25" s="4">
        <v>0.12</v>
      </c>
      <c r="F25" s="4"/>
    </row>
    <row r="26" spans="1:6" x14ac:dyDescent="0.4">
      <c r="D26" s="4"/>
      <c r="E26" s="4"/>
      <c r="F26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3D6C4-3BAD-42BE-BC82-FC83EE265332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geometry</vt:lpstr>
      <vt:lpstr>layers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Fischer</dc:creator>
  <cp:lastModifiedBy>Nicholas Fischer</cp:lastModifiedBy>
  <dcterms:created xsi:type="dcterms:W3CDTF">2015-06-05T18:17:20Z</dcterms:created>
  <dcterms:modified xsi:type="dcterms:W3CDTF">2026-10-06T01:12:23Z</dcterms:modified>
</cp:coreProperties>
</file>